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TEEN\Documents\FI\5 ciclo\Diseño vial 2\"/>
    </mc:Choice>
  </mc:AlternateContent>
  <xr:revisionPtr revIDLastSave="0" documentId="13_ncr:1_{39227350-BAEA-40CE-8E8C-929E4810EBE9}" xr6:coauthVersionLast="47" xr6:coauthVersionMax="47" xr10:uidLastSave="{00000000-0000-0000-0000-000000000000}"/>
  <bookViews>
    <workbookView xWindow="-120" yWindow="-120" windowWidth="20730" windowHeight="11310" xr2:uid="{3A88E6B3-8598-46C1-B3B4-19C7DC2955E2}"/>
  </bookViews>
  <sheets>
    <sheet name="3" sheetId="1" r:id="rId1"/>
    <sheet name="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C21" i="1"/>
  <c r="C22" i="1" s="1"/>
  <c r="D20" i="1" l="1"/>
  <c r="L13" i="1"/>
  <c r="L12" i="1"/>
  <c r="D12" i="1"/>
  <c r="D13" i="1"/>
  <c r="O23" i="2"/>
  <c r="P23" i="2"/>
  <c r="O24" i="2"/>
  <c r="O25" i="2" s="1"/>
  <c r="O26" i="2" s="1"/>
  <c r="O27" i="2" s="1"/>
  <c r="P24" i="2"/>
  <c r="P25" i="2"/>
  <c r="P26" i="2"/>
  <c r="P27" i="2"/>
  <c r="O22" i="2"/>
  <c r="P22" i="2"/>
  <c r="P21" i="2"/>
  <c r="P20" i="2"/>
  <c r="N9" i="2"/>
  <c r="N8" i="2"/>
  <c r="N7" i="2"/>
  <c r="P19" i="2"/>
  <c r="P14" i="2"/>
  <c r="P15" i="2"/>
  <c r="P16" i="2"/>
  <c r="P17" i="2"/>
  <c r="P18" i="2"/>
  <c r="P13" i="2"/>
  <c r="O15" i="2"/>
  <c r="O16" i="2" s="1"/>
  <c r="O17" i="2" s="1"/>
  <c r="O18" i="2" s="1"/>
  <c r="O19" i="2" s="1"/>
  <c r="O13" i="2"/>
  <c r="L14" i="2"/>
  <c r="L13" i="2"/>
  <c r="G21" i="2"/>
  <c r="H21" i="2"/>
  <c r="G16" i="2"/>
  <c r="H16" i="2"/>
  <c r="M2" i="2"/>
  <c r="M2" i="1"/>
  <c r="M9" i="1"/>
  <c r="M8" i="1"/>
  <c r="M7" i="1"/>
  <c r="K13" i="1"/>
  <c r="K12" i="1"/>
  <c r="K16" i="1" s="1"/>
  <c r="K17" i="1" s="1"/>
  <c r="K18" i="1" s="1"/>
  <c r="K19" i="1" s="1"/>
  <c r="K20" i="1" s="1"/>
  <c r="K21" i="1" s="1"/>
  <c r="H22" i="1" s="1"/>
  <c r="H26" i="1" s="1"/>
  <c r="N5" i="1"/>
  <c r="N6" i="1" s="1"/>
  <c r="L21" i="1" s="1"/>
  <c r="N4" i="1"/>
  <c r="O20" i="2"/>
  <c r="O21" i="2" s="1"/>
  <c r="K14" i="2"/>
  <c r="K13" i="2"/>
  <c r="M9" i="2"/>
  <c r="M8" i="2"/>
  <c r="M7" i="2"/>
  <c r="N5" i="2"/>
  <c r="N6" i="2" s="1"/>
  <c r="N4" i="2"/>
  <c r="G17" i="2"/>
  <c r="G18" i="2" s="1"/>
  <c r="G19" i="2" s="1"/>
  <c r="G20" i="2" s="1"/>
  <c r="D14" i="2"/>
  <c r="C14" i="2"/>
  <c r="D13" i="2"/>
  <c r="C13" i="2"/>
  <c r="E9" i="2"/>
  <c r="E8" i="2"/>
  <c r="E7" i="2"/>
  <c r="F5" i="2"/>
  <c r="F7" i="2" s="1"/>
  <c r="F4" i="2"/>
  <c r="E2" i="2"/>
  <c r="C13" i="1"/>
  <c r="C12" i="1"/>
  <c r="C16" i="1" s="1"/>
  <c r="C17" i="1" s="1"/>
  <c r="C18" i="1" s="1"/>
  <c r="E9" i="1"/>
  <c r="E8" i="1"/>
  <c r="E7" i="1"/>
  <c r="F5" i="1"/>
  <c r="D21" i="1" s="1"/>
  <c r="E2" i="1"/>
  <c r="D22" i="1" l="1"/>
  <c r="I26" i="1"/>
  <c r="L20" i="1"/>
  <c r="L17" i="1"/>
  <c r="L18" i="1"/>
  <c r="L19" i="1"/>
  <c r="I22" i="1"/>
  <c r="L16" i="1"/>
  <c r="D16" i="1"/>
  <c r="D17" i="1"/>
  <c r="D18" i="1"/>
  <c r="F6" i="1"/>
  <c r="D19" i="1" s="1"/>
  <c r="O14" i="2"/>
  <c r="H15" i="2"/>
  <c r="H20" i="2"/>
  <c r="N7" i="1"/>
  <c r="N8" i="1" s="1"/>
  <c r="N9" i="1" s="1"/>
  <c r="F8" i="2"/>
  <c r="F9" i="2" s="1"/>
  <c r="G13" i="2"/>
  <c r="G14" i="2" s="1"/>
  <c r="G15" i="2" s="1"/>
  <c r="H13" i="2"/>
  <c r="H18" i="2"/>
  <c r="H19" i="2"/>
  <c r="F6" i="2"/>
  <c r="H17" i="2" s="1"/>
  <c r="H14" i="2"/>
  <c r="F7" i="1"/>
  <c r="F8" i="1" s="1"/>
  <c r="F9" i="1" s="1"/>
</calcChain>
</file>

<file path=xl/sharedStrings.xml><?xml version="1.0" encoding="utf-8"?>
<sst xmlns="http://schemas.openxmlformats.org/spreadsheetml/2006/main" count="76" uniqueCount="16">
  <si>
    <t>Curvas Verticales Simétricas</t>
  </si>
  <si>
    <t>X</t>
  </si>
  <si>
    <t>N</t>
  </si>
  <si>
    <t>Lv</t>
  </si>
  <si>
    <t>i</t>
  </si>
  <si>
    <t>m</t>
  </si>
  <si>
    <t>E</t>
  </si>
  <si>
    <t>n</t>
  </si>
  <si>
    <t>Absc PIV</t>
  </si>
  <si>
    <t>Cota PIV</t>
  </si>
  <si>
    <t>P</t>
  </si>
  <si>
    <t>Absc</t>
  </si>
  <si>
    <t>Cota</t>
  </si>
  <si>
    <t>PCV</t>
  </si>
  <si>
    <t>PTV</t>
  </si>
  <si>
    <t>PIV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</si>
</sst>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k3 + &quot;0.000"/>
    <numFmt numFmtId="165" formatCode="0.000"/>
    <numFmt numFmtId="166" formatCode="&quot;X (&quot;0&quot;)&quot;"/>
    <numFmt numFmtId="168" formatCode="&quot;k5 + &quot;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32942-0769-490B-8CAC-62F154D6E73B}">
  <dimension ref="B2:P26"/>
  <sheetViews>
    <sheetView tabSelected="1" topLeftCell="A2" workbookViewId="0">
      <selection activeCell="D16" sqref="D16"/>
    </sheetView>
  </sheetViews>
  <sheetFormatPr baseColWidth="10" defaultRowHeight="15" x14ac:dyDescent="0.25"/>
  <sheetData>
    <row r="2" spans="2:16" x14ac:dyDescent="0.25">
      <c r="B2" s="11" t="s">
        <v>0</v>
      </c>
      <c r="C2" s="11"/>
      <c r="D2" s="11"/>
      <c r="E2" s="11" t="str">
        <f>IF($C$6&lt;$C$7,"Cóncava","Convexa")</f>
        <v>Cóncava</v>
      </c>
      <c r="F2" s="11"/>
      <c r="G2" s="1"/>
      <c r="H2" s="1"/>
      <c r="J2" s="11" t="s">
        <v>0</v>
      </c>
      <c r="K2" s="11"/>
      <c r="L2" s="11"/>
      <c r="M2" s="11" t="str">
        <f>IF($K$6&lt;$K$7,"Cóncava","Convexa")</f>
        <v>Cóncava</v>
      </c>
      <c r="N2" s="11"/>
      <c r="O2" s="1"/>
      <c r="P2" s="1"/>
    </row>
    <row r="3" spans="2:16" x14ac:dyDescent="0.25">
      <c r="B3" s="1"/>
      <c r="C3" s="1"/>
      <c r="D3" s="1"/>
      <c r="E3" s="1"/>
      <c r="F3" s="1"/>
      <c r="G3" s="1"/>
      <c r="H3" s="1"/>
      <c r="J3" s="1"/>
      <c r="K3" s="1"/>
      <c r="L3" s="1"/>
      <c r="M3" s="1"/>
      <c r="N3" s="1"/>
      <c r="O3" s="1"/>
      <c r="P3" s="1"/>
    </row>
    <row r="4" spans="2:16" x14ac:dyDescent="0.25">
      <c r="B4" s="2" t="s">
        <v>1</v>
      </c>
      <c r="C4" s="3">
        <v>20</v>
      </c>
      <c r="D4" s="1"/>
      <c r="E4" s="2" t="s">
        <v>2</v>
      </c>
      <c r="F4" s="3">
        <f>C5/C4-1</f>
        <v>6</v>
      </c>
      <c r="G4" s="1"/>
      <c r="H4" s="3"/>
      <c r="J4" s="2" t="s">
        <v>1</v>
      </c>
      <c r="K4" s="3">
        <v>10</v>
      </c>
      <c r="L4" s="1"/>
      <c r="M4" s="2" t="s">
        <v>2</v>
      </c>
      <c r="N4" s="3">
        <f>K5/K4-2</f>
        <v>10</v>
      </c>
      <c r="O4" s="1"/>
      <c r="P4" s="3"/>
    </row>
    <row r="5" spans="2:16" x14ac:dyDescent="0.25">
      <c r="B5" s="2" t="s">
        <v>3</v>
      </c>
      <c r="C5" s="3">
        <v>140</v>
      </c>
      <c r="D5" s="1"/>
      <c r="E5" s="2" t="s">
        <v>4</v>
      </c>
      <c r="F5" s="5">
        <f>ABS(C6-C7)</f>
        <v>7.0000000000000007E-2</v>
      </c>
      <c r="G5" s="1"/>
      <c r="H5" s="1"/>
      <c r="J5" s="2" t="s">
        <v>3</v>
      </c>
      <c r="K5" s="3">
        <v>120</v>
      </c>
      <c r="L5" s="1"/>
      <c r="M5" s="2" t="s">
        <v>4</v>
      </c>
      <c r="N5" s="5">
        <f>ABS(K6-K7)</f>
        <v>0.06</v>
      </c>
      <c r="O5" s="1"/>
      <c r="P5" s="1"/>
    </row>
    <row r="6" spans="2:16" x14ac:dyDescent="0.25">
      <c r="B6" s="2" t="s">
        <v>5</v>
      </c>
      <c r="C6" s="6">
        <v>-0.03</v>
      </c>
      <c r="D6" s="1"/>
      <c r="E6" s="2" t="s">
        <v>6</v>
      </c>
      <c r="F6" s="7">
        <f>F5*C5/8</f>
        <v>1.2250000000000001</v>
      </c>
      <c r="G6" s="1"/>
      <c r="H6" s="1"/>
      <c r="J6" s="2" t="s">
        <v>5</v>
      </c>
      <c r="K6" s="6">
        <v>-0.03</v>
      </c>
      <c r="L6" s="1"/>
      <c r="M6" s="2" t="s">
        <v>6</v>
      </c>
      <c r="N6" s="7">
        <f>N5*K5/8</f>
        <v>0.89999999999999991</v>
      </c>
      <c r="O6" s="1"/>
      <c r="P6" s="1"/>
    </row>
    <row r="7" spans="2:16" x14ac:dyDescent="0.25">
      <c r="B7" s="2" t="s">
        <v>7</v>
      </c>
      <c r="C7" s="6">
        <v>0.04</v>
      </c>
      <c r="D7" s="1"/>
      <c r="E7" s="2" t="str">
        <f>IF($C$6&lt;$C$7,"X min","X max")</f>
        <v>X min</v>
      </c>
      <c r="F7" s="7">
        <f>ABS(C6)*C5/F5</f>
        <v>60</v>
      </c>
      <c r="G7" s="1"/>
      <c r="H7" s="1"/>
      <c r="J7" s="2" t="s">
        <v>7</v>
      </c>
      <c r="K7" s="6">
        <v>0.03</v>
      </c>
      <c r="L7" s="1"/>
      <c r="M7" s="2" t="str">
        <f>IF($K$6&lt;$K$7,"X min","X max")</f>
        <v>X min</v>
      </c>
      <c r="N7" s="7">
        <f>ABS(K6)*K5/N5</f>
        <v>59.999999999999993</v>
      </c>
      <c r="O7" s="1"/>
      <c r="P7" s="1"/>
    </row>
    <row r="8" spans="2:16" x14ac:dyDescent="0.25">
      <c r="B8" s="2" t="s">
        <v>8</v>
      </c>
      <c r="C8" s="12">
        <v>600</v>
      </c>
      <c r="D8" s="8"/>
      <c r="E8" s="2" t="str">
        <f>IF($C$6&lt;$C$7,"Absc P min","AbscP max")</f>
        <v>Absc P min</v>
      </c>
      <c r="F8" s="4">
        <f>C12+F7</f>
        <v>590</v>
      </c>
      <c r="G8" s="1"/>
      <c r="H8" s="1"/>
      <c r="J8" s="2" t="s">
        <v>8</v>
      </c>
      <c r="K8" s="4">
        <v>500</v>
      </c>
      <c r="L8" s="8"/>
      <c r="M8" s="2" t="str">
        <f>IF($K$6&lt;$K$7,"Absc P min","AbscP max")</f>
        <v>Absc P min</v>
      </c>
      <c r="N8" s="4">
        <f>K12+N7</f>
        <v>500</v>
      </c>
      <c r="O8" s="1"/>
      <c r="P8" s="1"/>
    </row>
    <row r="9" spans="2:16" x14ac:dyDescent="0.25">
      <c r="B9" s="2" t="s">
        <v>9</v>
      </c>
      <c r="C9" s="7">
        <v>180</v>
      </c>
      <c r="D9" s="1"/>
      <c r="E9" s="2" t="str">
        <f>IF($C$6&lt;$C$7,"Cota P min","Cota P max")</f>
        <v>Cota P min</v>
      </c>
      <c r="F9" s="7">
        <f>IF(F8&lt;=C8,D12+F7*C6+IF(C6&lt;C7,1,-1)*(F5/(2*C5)*(F7^2)),C9+(F7-F4/2*C4)*C7+IF(C6&lt;C7,1,-1)*(F5/(2*C5)*((C5/2-F7)^2)))</f>
        <v>181.2</v>
      </c>
      <c r="G9" s="1"/>
      <c r="H9" s="1"/>
      <c r="J9" s="2" t="s">
        <v>9</v>
      </c>
      <c r="K9" s="7">
        <v>600</v>
      </c>
      <c r="L9" s="1"/>
      <c r="M9" s="2" t="str">
        <f>IF($K$6&lt;$K$7,"Cota P min","Cota P max")</f>
        <v>Cota P min</v>
      </c>
      <c r="N9" s="7">
        <f>IF(N8&lt;=K8,L12+N7*K6+IF(K6&lt;K7,1,1)*(N5/(2*K5)*(N7^2)),K9+(N7-N4/2*K4)*K7+IF(K6&lt;K7,1,-1)*(N5/(2*K5)*((K5/2-N7)^2)))</f>
        <v>600.9</v>
      </c>
      <c r="O9" s="1"/>
      <c r="P9" s="1"/>
    </row>
    <row r="10" spans="2:16" x14ac:dyDescent="0.25">
      <c r="B10" s="1"/>
      <c r="C10" s="1"/>
      <c r="D10" s="1"/>
      <c r="E10" s="9"/>
      <c r="F10" s="1"/>
      <c r="G10" s="1"/>
      <c r="H10" s="1"/>
      <c r="J10" s="1"/>
      <c r="K10" s="1"/>
      <c r="L10" s="1"/>
      <c r="M10" s="9"/>
      <c r="N10" s="1"/>
      <c r="O10" s="1"/>
      <c r="P10" s="1"/>
    </row>
    <row r="11" spans="2:16" x14ac:dyDescent="0.25">
      <c r="B11" s="2" t="s">
        <v>10</v>
      </c>
      <c r="C11" s="2" t="s">
        <v>11</v>
      </c>
      <c r="D11" s="2" t="s">
        <v>12</v>
      </c>
      <c r="E11" s="1"/>
      <c r="F11" s="1"/>
      <c r="G11" s="1"/>
      <c r="H11" s="1"/>
      <c r="J11" s="2" t="s">
        <v>10</v>
      </c>
      <c r="K11" s="2" t="s">
        <v>11</v>
      </c>
      <c r="L11" s="2" t="s">
        <v>12</v>
      </c>
      <c r="M11" s="1"/>
      <c r="N11" s="1"/>
      <c r="O11" s="1"/>
      <c r="P11" s="1"/>
    </row>
    <row r="12" spans="2:16" x14ac:dyDescent="0.25">
      <c r="B12" s="2" t="s">
        <v>13</v>
      </c>
      <c r="C12" s="12">
        <f>C8-C5/2</f>
        <v>530</v>
      </c>
      <c r="D12" s="7">
        <f>C9+C5/2*IF(C6&lt;C7,ABS(C6),-ABS(C6))</f>
        <v>182.1</v>
      </c>
      <c r="E12" s="1"/>
      <c r="J12" s="2" t="s">
        <v>13</v>
      </c>
      <c r="K12" s="4">
        <f>K8-K5/2</f>
        <v>440</v>
      </c>
      <c r="L12" s="7">
        <f>K9+K5/2*IF(K6&lt;K7,ABS(K6),-ABS(K6))</f>
        <v>601.79999999999995</v>
      </c>
      <c r="M12" s="1"/>
    </row>
    <row r="13" spans="2:16" x14ac:dyDescent="0.25">
      <c r="B13" s="2" t="s">
        <v>14</v>
      </c>
      <c r="C13" s="12">
        <f>C8+C5/2</f>
        <v>670</v>
      </c>
      <c r="D13" s="7">
        <f>C9+C5/2*IF(C6&lt;C7,ABS(C7),-ABS(C7))</f>
        <v>182.8</v>
      </c>
      <c r="E13" s="1"/>
      <c r="J13" s="2" t="s">
        <v>14</v>
      </c>
      <c r="K13" s="4">
        <f>K8+K5/2</f>
        <v>560</v>
      </c>
      <c r="L13" s="7">
        <f>K9+K5/2*IF(K6&lt;K7,ABS(K7),-ABS(K7))</f>
        <v>601.79999999999995</v>
      </c>
      <c r="M13" s="1"/>
    </row>
    <row r="14" spans="2:16" x14ac:dyDescent="0.25">
      <c r="E14" s="1"/>
      <c r="M14" s="1"/>
    </row>
    <row r="15" spans="2:16" x14ac:dyDescent="0.25">
      <c r="B15" s="2" t="s">
        <v>10</v>
      </c>
      <c r="C15" s="2" t="s">
        <v>11</v>
      </c>
      <c r="D15" s="2" t="s">
        <v>12</v>
      </c>
      <c r="E15" s="1"/>
      <c r="J15" s="2" t="s">
        <v>10</v>
      </c>
      <c r="K15" s="2" t="s">
        <v>11</v>
      </c>
      <c r="L15" s="2" t="s">
        <v>12</v>
      </c>
      <c r="M15" s="1"/>
    </row>
    <row r="16" spans="2:16" x14ac:dyDescent="0.25">
      <c r="B16" s="10">
        <v>1</v>
      </c>
      <c r="C16" s="12">
        <f>C12+C4*B16</f>
        <v>550</v>
      </c>
      <c r="D16" s="7">
        <f>$D$12+B16*$C$4*$C$6+IF($C$6&lt;$C$7,($F$5/(2*$C$5)*(($C$4*B16)^2)),-($F$5/(2*$C$5)*(($C$4*B16)^2)))</f>
        <v>181.6</v>
      </c>
      <c r="E16" s="1"/>
      <c r="J16" s="10">
        <v>1</v>
      </c>
      <c r="K16" s="4">
        <f>K12+K4*J16</f>
        <v>450</v>
      </c>
      <c r="L16" s="7">
        <f>L12+J16*K4*K6+IF(K6&lt;K$7,(N5/(2*K5)*((K4*J16)^2)),-(N5/(2*K5)*((K4*J16)^2)))</f>
        <v>601.52499999999998</v>
      </c>
      <c r="M16" s="1"/>
    </row>
    <row r="17" spans="2:13" x14ac:dyDescent="0.25">
      <c r="B17" s="10">
        <v>2</v>
      </c>
      <c r="C17" s="12">
        <f>C16+20</f>
        <v>570</v>
      </c>
      <c r="D17" s="7">
        <f t="shared" ref="D17:D18" si="0">$D$12+B17*$C$4*$C$6+IF($C$6&lt;$C$7,($F$5/(2*$C$5)*(($C$4*B17)^2)),-($F$5/(2*$C$5)*(($C$4*B17)^2)))</f>
        <v>181.3</v>
      </c>
      <c r="E17" s="1"/>
      <c r="J17" s="10">
        <v>2</v>
      </c>
      <c r="K17" s="4">
        <f>K16+10</f>
        <v>460</v>
      </c>
      <c r="L17" s="7">
        <f>L12+J17*K4*K6+IF(K6&lt;K$7,(N5/(2*K5)*((K4*J17)^2)),-(N5/(2*K5)*((K4*J17)^2)))</f>
        <v>601.29999999999995</v>
      </c>
      <c r="M17" s="1"/>
    </row>
    <row r="18" spans="2:13" x14ac:dyDescent="0.25">
      <c r="B18" s="10">
        <v>3</v>
      </c>
      <c r="C18" s="12">
        <f t="shared" ref="C18:C22" si="1">C17+20</f>
        <v>590</v>
      </c>
      <c r="D18" s="7">
        <f t="shared" si="0"/>
        <v>181.2</v>
      </c>
      <c r="E18" s="1"/>
      <c r="J18" s="10">
        <v>3</v>
      </c>
      <c r="K18" s="4">
        <f t="shared" ref="K18:K21" si="2">K17+10</f>
        <v>470</v>
      </c>
      <c r="L18" s="7">
        <f>L12+J18*K4*K6+IF(K6&lt;K$7,(N5/(2*K5)*((K4*J18)^2)),-(N5/(2*K5)*((K4*J18)^2)))</f>
        <v>601.125</v>
      </c>
      <c r="M18" s="1"/>
    </row>
    <row r="19" spans="2:13" x14ac:dyDescent="0.25">
      <c r="B19" s="2" t="s">
        <v>15</v>
      </c>
      <c r="C19" s="12">
        <v>600</v>
      </c>
      <c r="D19" s="7">
        <f>C9+IF(C6&lt;C7,1,-1)*F6</f>
        <v>181.22499999999999</v>
      </c>
      <c r="J19" s="10">
        <v>4</v>
      </c>
      <c r="K19" s="4">
        <f t="shared" si="2"/>
        <v>480</v>
      </c>
      <c r="L19" s="7">
        <f>L12+J19*K4*K6+IF(K6&lt;K$7,(N5/(2*K5)*((K4*J19)^2)),-(N5/(2*K5)*((K4*J19)^2)))</f>
        <v>600.99999999999989</v>
      </c>
      <c r="M19" s="1"/>
    </row>
    <row r="20" spans="2:13" x14ac:dyDescent="0.25">
      <c r="B20" s="10">
        <v>4</v>
      </c>
      <c r="C20" s="12">
        <v>610</v>
      </c>
      <c r="D20" s="7">
        <f>$C$9+(B20-$F$4/2-0.5)*$C$4*$C$7+IF($C$6&lt;$C$7,1,-1)*($F$5/(2*$C$5)*(($C$4*($F$4-B20+1))^2))</f>
        <v>181.3</v>
      </c>
      <c r="J20" s="10">
        <v>5</v>
      </c>
      <c r="K20" s="4">
        <f t="shared" si="2"/>
        <v>490</v>
      </c>
      <c r="L20" s="7">
        <f>L12+J20*K4*K6+IF(K6&lt;K$7,(N5/(2*K5)*((K4*J20)^2)),-(N5/(2*K5)*((K4*J20)^2)))</f>
        <v>600.92499999999995</v>
      </c>
    </row>
    <row r="21" spans="2:13" x14ac:dyDescent="0.25">
      <c r="B21" s="10">
        <v>5</v>
      </c>
      <c r="C21" s="12">
        <f t="shared" si="1"/>
        <v>630</v>
      </c>
      <c r="D21" s="7">
        <f t="shared" ref="D21:D22" si="3">$C$9+(B21-$F$4/2-0.5)*$C$4*$C$7+IF($C$6&lt;$C$7,1,-1)*($F$5/(2*$C$5)*(($C$4*($F$4-B21+1))^2))</f>
        <v>181.6</v>
      </c>
      <c r="J21" s="2" t="s">
        <v>15</v>
      </c>
      <c r="K21" s="4">
        <f t="shared" si="2"/>
        <v>500</v>
      </c>
      <c r="L21" s="7">
        <f>K9+IF(K6&lt;K7,1,-1)*N6</f>
        <v>600.9</v>
      </c>
    </row>
    <row r="22" spans="2:13" x14ac:dyDescent="0.25">
      <c r="B22" s="10">
        <v>6</v>
      </c>
      <c r="C22" s="12">
        <f t="shared" si="1"/>
        <v>650</v>
      </c>
      <c r="D22" s="7">
        <f t="shared" si="3"/>
        <v>182.1</v>
      </c>
      <c r="G22" s="10">
        <v>6</v>
      </c>
      <c r="H22" s="4">
        <f>K21+10</f>
        <v>510</v>
      </c>
      <c r="I22" s="7">
        <f>K9+(G22-N4/2)*K4*K7+IF(K6&lt;K7,1,-1)*(N5/(2*K5)*((K4*(N4-G22+1))^2))</f>
        <v>600.92499999999995</v>
      </c>
    </row>
    <row r="26" spans="2:13" x14ac:dyDescent="0.25">
      <c r="G26" s="10">
        <v>10</v>
      </c>
      <c r="H26" s="4" t="e">
        <f>#REF!+10</f>
        <v>#REF!</v>
      </c>
      <c r="I26" s="7">
        <f>K9+(G26-N4/2)*K4*K7+IF(K6&lt;K7,1,-1)*(N5/(2*K5)*((K4*(N4-G26+1))^2))</f>
        <v>601.52499999999998</v>
      </c>
    </row>
  </sheetData>
  <mergeCells count="4">
    <mergeCell ref="B2:D2"/>
    <mergeCell ref="E2:F2"/>
    <mergeCell ref="J2:L2"/>
    <mergeCell ref="M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4DF1-61C1-4CD5-95DA-4A3D751EA386}">
  <dimension ref="B2:P27"/>
  <sheetViews>
    <sheetView topLeftCell="B1" workbookViewId="0">
      <selection activeCell="I8" sqref="I8"/>
    </sheetView>
  </sheetViews>
  <sheetFormatPr baseColWidth="10" defaultRowHeight="15" x14ac:dyDescent="0.25"/>
  <sheetData>
    <row r="2" spans="2:16" x14ac:dyDescent="0.25">
      <c r="B2" s="11" t="s">
        <v>0</v>
      </c>
      <c r="C2" s="11"/>
      <c r="D2" s="11"/>
      <c r="E2" s="11" t="str">
        <f>IF($C$6&lt;$C$7,"Cóncava","Convexa")</f>
        <v>Convexa</v>
      </c>
      <c r="F2" s="11"/>
      <c r="G2" s="1"/>
      <c r="H2" s="1"/>
      <c r="J2" s="11" t="s">
        <v>0</v>
      </c>
      <c r="K2" s="11"/>
      <c r="L2" s="11"/>
      <c r="M2" s="11" t="str">
        <f>IF($K$6&lt;$K$7,"Cóncava","Convexa")</f>
        <v>Cóncava</v>
      </c>
      <c r="N2" s="11"/>
      <c r="O2" s="1"/>
      <c r="P2" s="1"/>
    </row>
    <row r="3" spans="2:16" x14ac:dyDescent="0.25">
      <c r="B3" s="1"/>
      <c r="C3" s="1"/>
      <c r="D3" s="1"/>
      <c r="E3" s="1"/>
      <c r="F3" s="1"/>
      <c r="G3" s="1"/>
      <c r="H3" s="1"/>
      <c r="J3" s="1"/>
      <c r="K3" s="1"/>
      <c r="L3" s="1"/>
      <c r="M3" s="1"/>
      <c r="N3" s="1"/>
      <c r="O3" s="1"/>
      <c r="P3" s="1"/>
    </row>
    <row r="4" spans="2:16" x14ac:dyDescent="0.25">
      <c r="B4" s="2" t="s">
        <v>1</v>
      </c>
      <c r="C4" s="3">
        <v>10</v>
      </c>
      <c r="D4" s="1"/>
      <c r="E4" s="2" t="s">
        <v>2</v>
      </c>
      <c r="F4" s="3">
        <f>C5/C4-2</f>
        <v>8</v>
      </c>
      <c r="G4" s="1"/>
      <c r="H4" s="3"/>
      <c r="J4" s="2" t="s">
        <v>1</v>
      </c>
      <c r="K4" s="3">
        <v>10</v>
      </c>
      <c r="L4" s="1"/>
      <c r="M4" s="2" t="s">
        <v>2</v>
      </c>
      <c r="N4" s="3">
        <f>K5/K4-2</f>
        <v>14</v>
      </c>
      <c r="O4" s="1"/>
      <c r="P4" s="3"/>
    </row>
    <row r="5" spans="2:16" x14ac:dyDescent="0.25">
      <c r="B5" s="2" t="s">
        <v>3</v>
      </c>
      <c r="C5" s="3">
        <v>100</v>
      </c>
      <c r="D5" s="1"/>
      <c r="E5" s="2" t="s">
        <v>4</v>
      </c>
      <c r="F5" s="5">
        <f>ABS(C6-C7)</f>
        <v>0.08</v>
      </c>
      <c r="G5" s="1"/>
      <c r="H5" s="1"/>
      <c r="J5" s="2" t="s">
        <v>3</v>
      </c>
      <c r="K5" s="3">
        <v>160</v>
      </c>
      <c r="L5" s="1"/>
      <c r="M5" s="2" t="s">
        <v>4</v>
      </c>
      <c r="N5" s="5">
        <f>ABS(K6-K7)</f>
        <v>0.08</v>
      </c>
      <c r="O5" s="1"/>
      <c r="P5" s="1"/>
    </row>
    <row r="6" spans="2:16" x14ac:dyDescent="0.25">
      <c r="B6" s="2" t="s">
        <v>5</v>
      </c>
      <c r="C6" s="6">
        <v>0.04</v>
      </c>
      <c r="D6" s="1"/>
      <c r="E6" s="2" t="s">
        <v>6</v>
      </c>
      <c r="F6" s="7">
        <f>F5*C5/8</f>
        <v>1</v>
      </c>
      <c r="G6" s="1"/>
      <c r="H6" s="1"/>
      <c r="J6" s="2" t="s">
        <v>5</v>
      </c>
      <c r="K6" s="6">
        <v>-0.04</v>
      </c>
      <c r="L6" s="1"/>
      <c r="M6" s="2" t="s">
        <v>6</v>
      </c>
      <c r="N6" s="7">
        <f>N5*K5/8</f>
        <v>1.6</v>
      </c>
      <c r="O6" s="1"/>
      <c r="P6" s="1"/>
    </row>
    <row r="7" spans="2:16" x14ac:dyDescent="0.25">
      <c r="B7" s="2" t="s">
        <v>7</v>
      </c>
      <c r="C7" s="6">
        <v>-0.04</v>
      </c>
      <c r="D7" s="1"/>
      <c r="E7" s="2" t="str">
        <f>IF($C$6&lt;$C$7,"X min","X max")</f>
        <v>X max</v>
      </c>
      <c r="F7" s="7">
        <f>ABS(C6)*C5/F5</f>
        <v>50</v>
      </c>
      <c r="G7" s="1"/>
      <c r="H7" s="1"/>
      <c r="J7" s="2" t="s">
        <v>7</v>
      </c>
      <c r="K7" s="6">
        <v>0.04</v>
      </c>
      <c r="L7" s="1"/>
      <c r="M7" s="2" t="str">
        <f>IF($C$6&lt;$C$7,"X min","X max")</f>
        <v>X max</v>
      </c>
      <c r="N7" s="7">
        <f>ABS(K6)*K5/N5</f>
        <v>80</v>
      </c>
      <c r="O7" s="1"/>
      <c r="P7" s="1"/>
    </row>
    <row r="8" spans="2:16" x14ac:dyDescent="0.25">
      <c r="B8" s="2" t="s">
        <v>8</v>
      </c>
      <c r="C8" s="4">
        <v>500</v>
      </c>
      <c r="D8" s="8"/>
      <c r="E8" s="2" t="str">
        <f>IF($C$6&lt;$C$7,"Absc P min","AbscP max")</f>
        <v>AbscP max</v>
      </c>
      <c r="F8" s="4">
        <f>C13+F7</f>
        <v>500</v>
      </c>
      <c r="G8" s="1"/>
      <c r="H8" s="1"/>
      <c r="J8" s="2" t="s">
        <v>8</v>
      </c>
      <c r="K8" s="4">
        <v>500</v>
      </c>
      <c r="L8" s="8"/>
      <c r="M8" s="2" t="str">
        <f>IF($C$6&lt;$C$7,"Absc P min","AbscP max")</f>
        <v>AbscP max</v>
      </c>
      <c r="N8" s="4">
        <f>K13+N7</f>
        <v>500</v>
      </c>
      <c r="O8" s="1"/>
      <c r="P8" s="1"/>
    </row>
    <row r="9" spans="2:16" x14ac:dyDescent="0.25">
      <c r="B9" s="2" t="s">
        <v>9</v>
      </c>
      <c r="C9" s="7">
        <v>600</v>
      </c>
      <c r="D9" s="1"/>
      <c r="E9" s="2" t="str">
        <f>IF($C$6&lt;$C$7,"Cota P min","Cota P max")</f>
        <v>Cota P max</v>
      </c>
      <c r="F9" s="7">
        <f>IF(F8&lt;=C8,$D$13+F7*$C$6+IF($C$6&lt;$C$7,1,-1)*($F$5/(2*$C$5)*(F7^2)),$C$9+(F7-$F$4/2*$C$4)*$C$7+IF($C$6&lt;$C$7,1,-1)*($F$5/(2*$C$5)*((C5/2-F7)^2)))</f>
        <v>599</v>
      </c>
      <c r="G9" s="1"/>
      <c r="H9" s="1"/>
      <c r="J9" s="2" t="s">
        <v>9</v>
      </c>
      <c r="K9" s="7">
        <v>600</v>
      </c>
      <c r="L9" s="1"/>
      <c r="M9" s="2" t="str">
        <f>IF($C$6&lt;$C$7,"Cota P min","Cota P max")</f>
        <v>Cota P max</v>
      </c>
      <c r="N9" s="7">
        <f>IF(N8&lt;=K8,$L$13+N7*$K$6+IF($K$6&lt;$K$7,1,-1)*($N$5/(2*$K$5)*(N7^2)),$K$9+(N7-$N$4/2*$K$4)*$K$7+IF($K$6&lt;$K$7,1,-1)*($N$5/(2*$K$5)*((K5/2-N7)^2)))</f>
        <v>601.6</v>
      </c>
      <c r="O9" s="1"/>
      <c r="P9" s="1"/>
    </row>
    <row r="10" spans="2:16" x14ac:dyDescent="0.25">
      <c r="B10" s="1"/>
      <c r="C10" s="1"/>
      <c r="D10" s="1"/>
      <c r="E10" s="9"/>
      <c r="F10" s="1"/>
      <c r="G10" s="1"/>
      <c r="H10" s="1"/>
      <c r="J10" s="1"/>
      <c r="K10" s="1"/>
      <c r="L10" s="1"/>
      <c r="M10" s="9"/>
      <c r="N10" s="1"/>
      <c r="O10" s="1"/>
      <c r="P10" s="1"/>
    </row>
    <row r="11" spans="2:16" x14ac:dyDescent="0.25">
      <c r="B11" s="1"/>
      <c r="C11" s="1"/>
      <c r="D11" s="1"/>
      <c r="E11" s="1"/>
      <c r="F11" s="1"/>
      <c r="G11" s="1"/>
      <c r="H11" s="1"/>
      <c r="J11" s="1"/>
      <c r="K11" s="1"/>
      <c r="L11" s="1"/>
      <c r="M11" s="1"/>
      <c r="N11" s="1"/>
      <c r="O11" s="1"/>
      <c r="P11" s="1"/>
    </row>
    <row r="12" spans="2:16" x14ac:dyDescent="0.25">
      <c r="B12" s="2" t="s">
        <v>10</v>
      </c>
      <c r="C12" s="2" t="s">
        <v>11</v>
      </c>
      <c r="D12" s="2" t="s">
        <v>12</v>
      </c>
      <c r="E12" s="1"/>
      <c r="F12" s="2" t="s">
        <v>10</v>
      </c>
      <c r="G12" s="2" t="s">
        <v>11</v>
      </c>
      <c r="H12" s="2" t="s">
        <v>12</v>
      </c>
      <c r="J12" s="2" t="s">
        <v>10</v>
      </c>
      <c r="K12" s="2" t="s">
        <v>11</v>
      </c>
      <c r="L12" s="2" t="s">
        <v>12</v>
      </c>
      <c r="M12" s="1"/>
      <c r="N12" s="2" t="s">
        <v>10</v>
      </c>
      <c r="O12" s="2" t="s">
        <v>11</v>
      </c>
      <c r="P12" s="2" t="s">
        <v>12</v>
      </c>
    </row>
    <row r="13" spans="2:16" x14ac:dyDescent="0.25">
      <c r="B13" s="2" t="s">
        <v>13</v>
      </c>
      <c r="C13" s="4">
        <f>C8-C5/2</f>
        <v>450</v>
      </c>
      <c r="D13" s="7">
        <f>$C$9+$C$5/2*IF(C6&lt;C7,ABS(C6),-ABS(C6))</f>
        <v>598</v>
      </c>
      <c r="E13" s="1"/>
      <c r="F13" s="10">
        <v>1</v>
      </c>
      <c r="G13" s="4">
        <f>$C$13+$C$4*F13</f>
        <v>460</v>
      </c>
      <c r="H13" s="7">
        <f>$D$13+F13*$C$4*$C$6+IF($C$6&lt;$C$7,($F$5/(2*$C$5)*(($C$4*F13)^2)),-($F$5/(2*$C$5)*(($C$4*F13)^2)))</f>
        <v>598.36</v>
      </c>
      <c r="J13" s="2" t="s">
        <v>13</v>
      </c>
      <c r="K13" s="4">
        <f>K8-K5/2</f>
        <v>420</v>
      </c>
      <c r="L13" s="7">
        <f>$K$9+$K$5/2*IF(K6&lt;K7,ABS(K6),-ABS(K6))</f>
        <v>603.20000000000005</v>
      </c>
      <c r="M13" s="1"/>
      <c r="N13" s="10">
        <v>1</v>
      </c>
      <c r="O13" s="4">
        <f>$K$13+$K$4*N13</f>
        <v>430</v>
      </c>
      <c r="P13" s="7">
        <f>$L$13+N13*$K$4*$K$6+IF($K$6&lt;$K$7,($N$5/(2*$K$5)*(($K$4*N13)^2)),-($N$5/(2*$K$6)*(($K$4*N13)^2)))</f>
        <v>602.82500000000005</v>
      </c>
    </row>
    <row r="14" spans="2:16" x14ac:dyDescent="0.25">
      <c r="B14" s="2" t="s">
        <v>14</v>
      </c>
      <c r="C14" s="4">
        <f>C8+C5/2</f>
        <v>550</v>
      </c>
      <c r="D14" s="7">
        <f>$C$9+$C$5/2*IF(C6&lt;C7,ABS(C7),-ABS(C7))</f>
        <v>598</v>
      </c>
      <c r="E14" s="1"/>
      <c r="F14" s="10">
        <v>2</v>
      </c>
      <c r="G14" s="4">
        <f>G13+$C$4</f>
        <v>470</v>
      </c>
      <c r="H14" s="7">
        <f t="shared" ref="H14" si="0">$D$13+F14*$C$4*$C$6+IF($C$6&lt;$C$7,($F$5/(2*$C$5)*(($C$4*F14)^2)),-($F$5/(2*$C$5)*(($C$4*F14)^2)))</f>
        <v>598.64</v>
      </c>
      <c r="J14" s="2" t="s">
        <v>14</v>
      </c>
      <c r="K14" s="4">
        <f>K8+K5/2</f>
        <v>580</v>
      </c>
      <c r="L14" s="7">
        <f>$K$9+$K$5/2*IF(K6&lt;K7,ABS(K7),-ABS(K7))</f>
        <v>603.20000000000005</v>
      </c>
      <c r="M14" s="1"/>
      <c r="N14" s="10">
        <v>2</v>
      </c>
      <c r="O14" s="4">
        <f>O13+$C$4</f>
        <v>440</v>
      </c>
      <c r="P14" s="7">
        <f t="shared" ref="P14:P18" si="1">$L$13+N14*$K$4*$K$6+IF($K$6&lt;$K$7,($N$5/(2*$K$5)*(($K$4*N14)^2)),-($N$5/(2*$K$6)*(($K$4*N14)^2)))</f>
        <v>602.50000000000011</v>
      </c>
    </row>
    <row r="15" spans="2:16" x14ac:dyDescent="0.25">
      <c r="B15" s="1"/>
      <c r="C15" s="1"/>
      <c r="D15" s="1"/>
      <c r="E15" s="1"/>
      <c r="F15" s="10">
        <v>3</v>
      </c>
      <c r="G15" s="4">
        <f>G14+$C$4</f>
        <v>480</v>
      </c>
      <c r="H15" s="7">
        <f t="shared" ref="H15:H16" si="2">$D$13+F15*$C$4*$C$6+IF($C$6&lt;$C$7,($F$5/(2*$C$5)*(($C$4*F15)^2)),-($F$5/(2*$C$5)*(($C$4*F15)^2)))</f>
        <v>598.84</v>
      </c>
      <c r="J15" s="1"/>
      <c r="K15" s="1"/>
      <c r="L15" s="1"/>
      <c r="M15" s="1"/>
      <c r="N15" s="10">
        <v>3</v>
      </c>
      <c r="O15" s="4">
        <f t="shared" ref="O15:O19" si="3">O14+$C$4</f>
        <v>450</v>
      </c>
      <c r="P15" s="7">
        <f t="shared" si="1"/>
        <v>602.22500000000002</v>
      </c>
    </row>
    <row r="16" spans="2:16" x14ac:dyDescent="0.25">
      <c r="B16" s="1"/>
      <c r="C16" s="1"/>
      <c r="D16" s="1"/>
      <c r="E16" s="1"/>
      <c r="F16" s="10">
        <v>4</v>
      </c>
      <c r="G16" s="4">
        <f>G15+$C$4</f>
        <v>490</v>
      </c>
      <c r="H16" s="7">
        <f t="shared" si="2"/>
        <v>598.96</v>
      </c>
      <c r="J16" s="1"/>
      <c r="K16" s="1"/>
      <c r="L16" s="1"/>
      <c r="M16" s="1"/>
      <c r="N16" s="10">
        <v>4</v>
      </c>
      <c r="O16" s="4">
        <f t="shared" si="3"/>
        <v>460</v>
      </c>
      <c r="P16" s="7">
        <f t="shared" si="1"/>
        <v>602</v>
      </c>
    </row>
    <row r="17" spans="2:16" x14ac:dyDescent="0.25">
      <c r="B17" s="1"/>
      <c r="C17" s="1"/>
      <c r="D17" s="1"/>
      <c r="E17" s="1"/>
      <c r="F17" s="2" t="s">
        <v>15</v>
      </c>
      <c r="G17" s="4">
        <f>C8</f>
        <v>500</v>
      </c>
      <c r="H17" s="7">
        <f>C9+IF($C$6&lt;$C$7,1,-1)*F6</f>
        <v>599</v>
      </c>
      <c r="J17" s="1"/>
      <c r="K17" s="1"/>
      <c r="L17" s="1"/>
      <c r="M17" s="1"/>
      <c r="N17" s="10">
        <v>5</v>
      </c>
      <c r="O17" s="4">
        <f t="shared" si="3"/>
        <v>470</v>
      </c>
      <c r="P17" s="7">
        <f t="shared" si="1"/>
        <v>601.82500000000005</v>
      </c>
    </row>
    <row r="18" spans="2:16" x14ac:dyDescent="0.25">
      <c r="B18" s="1"/>
      <c r="C18" s="1"/>
      <c r="D18" s="1"/>
      <c r="F18" s="10">
        <v>5</v>
      </c>
      <c r="G18" s="4">
        <f t="shared" ref="G18" si="4">G17+$C$4</f>
        <v>510</v>
      </c>
      <c r="H18" s="7">
        <f>$C$9+(F18-$F$4/2)*$C$4*$C$7+IF($C$6&lt;$C$7,1,-1)*($F$5/(2*$C$5)*(($C$4*($F$4-F18+1))^2))</f>
        <v>598.96</v>
      </c>
      <c r="J18" s="1"/>
      <c r="K18" s="1"/>
      <c r="L18" s="1"/>
      <c r="N18" s="10">
        <v>6</v>
      </c>
      <c r="O18" s="4">
        <f t="shared" si="3"/>
        <v>480</v>
      </c>
      <c r="P18" s="7">
        <f t="shared" si="1"/>
        <v>601.70000000000005</v>
      </c>
    </row>
    <row r="19" spans="2:16" x14ac:dyDescent="0.25">
      <c r="B19" s="1"/>
      <c r="C19" s="1"/>
      <c r="D19" s="1"/>
      <c r="F19" s="10">
        <v>6</v>
      </c>
      <c r="G19" s="4">
        <f t="shared" ref="G19:G21" si="5">G18+$C$4</f>
        <v>520</v>
      </c>
      <c r="H19" s="7">
        <f t="shared" ref="H19" si="6">$C$9+(F19-$F$4/2)*$C$4*$C$7+IF($C$6&lt;$C$7,1,-1)*($F$5/(2*$C$5)*(($C$4*($F$4-F19+1))^2))</f>
        <v>598.84</v>
      </c>
      <c r="J19" s="1"/>
      <c r="K19" s="1"/>
      <c r="L19" s="1"/>
      <c r="N19" s="10">
        <v>7</v>
      </c>
      <c r="O19" s="4">
        <f t="shared" si="3"/>
        <v>490</v>
      </c>
      <c r="P19" s="7">
        <f>$L$13+N19*$K$4*$K$6+IF($K$6&lt;$K$7,($N$5/(2*$K$5)*(($K$4*N19)^2)),-($N$5/(2*$K$6)*(($K$4*N19)^2)))</f>
        <v>601.62500000000011</v>
      </c>
    </row>
    <row r="20" spans="2:16" x14ac:dyDescent="0.25">
      <c r="B20" s="1"/>
      <c r="C20" s="1"/>
      <c r="D20" s="1"/>
      <c r="F20" s="10">
        <v>7</v>
      </c>
      <c r="G20" s="4">
        <f t="shared" si="5"/>
        <v>530</v>
      </c>
      <c r="H20" s="7">
        <f>$C$9+(F20-$F$4/2)*$C$4*$C$7+IF($C$6&lt;$C$7,1,-1)*($F$5/(2*$C$5)*(($C$4*($F$4-F20+1))^2))</f>
        <v>598.64</v>
      </c>
      <c r="N20" s="2" t="s">
        <v>15</v>
      </c>
      <c r="O20" s="4">
        <f>K8</f>
        <v>500</v>
      </c>
      <c r="P20" s="7">
        <f>K9+IF($K$6&lt;$K$7,1,-1)*N6</f>
        <v>601.6</v>
      </c>
    </row>
    <row r="21" spans="2:16" x14ac:dyDescent="0.25">
      <c r="B21" s="1"/>
      <c r="C21" s="1"/>
      <c r="D21" s="1"/>
      <c r="F21" s="10">
        <v>8</v>
      </c>
      <c r="G21" s="4">
        <f t="shared" si="5"/>
        <v>540</v>
      </c>
      <c r="H21" s="7">
        <f>$C$9+(F21-$F$4/2)*$C$4*$C$7+IF($C$6&lt;$C$7,1,-1)*($F$5/(2*$C$5)*(($C$4*($F$4-F21+1))^2))</f>
        <v>598.36</v>
      </c>
      <c r="N21" s="10">
        <v>8</v>
      </c>
      <c r="O21" s="4">
        <f t="shared" ref="O21" si="7">O20+$C$4</f>
        <v>510</v>
      </c>
      <c r="P21" s="7">
        <f>$K$9+(N21-$N$4/2)*$K$4*$K$7+IF($K$6&lt;$K$7,1,-1)*($N$5/(2*$K$5)*(($K$4*($N$4-N21+1))^2))</f>
        <v>601.625</v>
      </c>
    </row>
    <row r="22" spans="2:16" x14ac:dyDescent="0.25">
      <c r="N22" s="10">
        <v>9</v>
      </c>
      <c r="O22" s="4">
        <f t="shared" ref="O22:O23" si="8">O21+$C$4</f>
        <v>520</v>
      </c>
      <c r="P22" s="7">
        <f t="shared" ref="P22:P23" si="9">$K$9+(N22-$N$4/2)*$K$4*$K$7+IF($K$6&lt;$K$7,1,-1)*($N$5/(2*$K$5)*(($K$4*($N$4-N22+1))^2))</f>
        <v>601.69999999999993</v>
      </c>
    </row>
    <row r="23" spans="2:16" x14ac:dyDescent="0.25">
      <c r="N23" s="10">
        <v>10</v>
      </c>
      <c r="O23" s="4">
        <f t="shared" si="8"/>
        <v>530</v>
      </c>
      <c r="P23" s="7">
        <f t="shared" si="9"/>
        <v>601.82500000000005</v>
      </c>
    </row>
    <row r="24" spans="2:16" x14ac:dyDescent="0.25">
      <c r="N24" s="10">
        <v>11</v>
      </c>
      <c r="O24" s="4">
        <f t="shared" ref="O24:O27" si="10">O23+$C$4</f>
        <v>540</v>
      </c>
      <c r="P24" s="7">
        <f t="shared" ref="P24:P27" si="11">$K$9+(N24-$N$4/2)*$K$4*$K$7+IF($K$6&lt;$K$7,1,-1)*($N$5/(2*$K$5)*(($K$4*($N$4-N24+1))^2))</f>
        <v>602</v>
      </c>
    </row>
    <row r="25" spans="2:16" x14ac:dyDescent="0.25">
      <c r="N25" s="10">
        <v>12</v>
      </c>
      <c r="O25" s="4">
        <f t="shared" si="10"/>
        <v>550</v>
      </c>
      <c r="P25" s="7">
        <f t="shared" si="11"/>
        <v>602.22500000000002</v>
      </c>
    </row>
    <row r="26" spans="2:16" x14ac:dyDescent="0.25">
      <c r="N26" s="10">
        <v>13</v>
      </c>
      <c r="O26" s="4">
        <f t="shared" si="10"/>
        <v>560</v>
      </c>
      <c r="P26" s="7">
        <f t="shared" si="11"/>
        <v>602.5</v>
      </c>
    </row>
    <row r="27" spans="2:16" x14ac:dyDescent="0.25">
      <c r="N27" s="10">
        <v>14</v>
      </c>
      <c r="O27" s="4">
        <f t="shared" si="10"/>
        <v>570</v>
      </c>
      <c r="P27" s="7">
        <f t="shared" si="11"/>
        <v>602.82499999999993</v>
      </c>
    </row>
  </sheetData>
  <mergeCells count="4">
    <mergeCell ref="B2:D2"/>
    <mergeCell ref="E2:F2"/>
    <mergeCell ref="J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JOSE ANTONIO PALACIOS DE LA CRUZ</dc:creator>
  <cp:lastModifiedBy>ALUMNO - JOSE ANTONIO PALACIOS DE LA CRUZ</cp:lastModifiedBy>
  <dcterms:created xsi:type="dcterms:W3CDTF">2025-10-26T20:12:21Z</dcterms:created>
  <dcterms:modified xsi:type="dcterms:W3CDTF">2025-11-18T02:06:43Z</dcterms:modified>
</cp:coreProperties>
</file>